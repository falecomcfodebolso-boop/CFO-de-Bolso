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chamento 31-07-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<sst xmlns="http://schemas.openxmlformats.org/spreadsheetml/2006/main" count="42" uniqueCount="39">
  <si>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PERSONAL OVERSEAS INVESTMENTS LTD</t>
  </si>
  <si>
    <t xml:space="preserve">Ajustes de Acruamento — Juros Acruados a Receber — Fechamento 31/07/2026</t>
  </si>
  <si>
    <t xml:space="preserve">Fonte: Itaú Valuation Statement 31/07/2026 (Fixed Income - Accrued Interest) e Bradesco/Pershing Portfolio Holdings 31/07/2026 (Accrued Interest).</t>
  </si>
  <si>
    <t xml:space="preserve">Grupo</t>
  </si>
  <si>
    <t xml:space="preserve">Conta de Acruo</t>
  </si>
  <si>
    <t xml:space="preserve">Conta de Receita</t>
  </si>
  <si>
    <t xml:space="preserve">Saldo Contábil (antes)</t>
  </si>
  <si>
    <t xml:space="preserve">Valor no Extrato do Banco</t>
  </si>
  <si>
    <t xml:space="preserve">Diferença a Lançar</t>
  </si>
  <si>
    <t xml:space="preserve">Status</t>
  </si>
  <si>
    <t xml:space="preserve">Observação</t>
  </si>
  <si>
    <t xml:space="preserve">CLN HSBC (Grupo 1)</t>
  </si>
  <si>
    <t xml:space="preserve">1.1.2.002</t>
  </si>
  <si>
    <t xml:space="preserve">4.1.002</t>
  </si>
  <si>
    <t xml:space="preserve">Ajustar</t>
  </si>
  <si>
    <t xml:space="preserve">Diferença de US$ 2.493,56 seria lançada (D. Juros Acruados / C. Receita Juros) ao registrar esta apuração.</t>
  </si>
  <si>
    <t xml:space="preserve">CLN ARC MITTAL (Grupo 1)</t>
  </si>
  <si>
    <t xml:space="preserve">1.1.2.003</t>
  </si>
  <si>
    <t xml:space="preserve">4.1.003</t>
  </si>
  <si>
    <t xml:space="preserve">Diferença de US$ 5.106,58 seria lançada (D. Juros Acruados / C. Receita Juros) ao registrar esta apuração.</t>
  </si>
  <si>
    <t xml:space="preserve">CLN BRADESCO (Grupo 1)</t>
  </si>
  <si>
    <t xml:space="preserve">1.1.2.004</t>
  </si>
  <si>
    <t xml:space="preserve">4.1.004</t>
  </si>
  <si>
    <t xml:space="preserve">Bate</t>
  </si>
  <si>
    <t xml:space="preserve">Contábil já bate com o extrato — nenhum lançamento seria gerado.</t>
  </si>
  <si>
    <t xml:space="preserve">XP/Bradesco (todos os papéis)</t>
  </si>
  <si>
    <t xml:space="preserve">1.1.2.006</t>
  </si>
  <si>
    <t xml:space="preserve">4.2.001</t>
  </si>
  <si>
    <t xml:space="preserve">Itaú — demais posições (001 + 005)</t>
  </si>
  <si>
    <t xml:space="preserve">1.1.2.001 + 1.1.2.005</t>
  </si>
  <si>
    <t xml:space="preserve">4.1.001 / 4.1.005</t>
  </si>
  <si>
    <t xml:space="preserve">Investigar</t>
  </si>
  <si>
    <t xml:space="preserve">ANOMALIA: as duas contas juntas deveriam representar o mesmo grupo do extrato (Total Itaú US$ 32.922,97 menos os 3 CLN dedicados). A diferença de US$ 7.600,14 não é uma variação normal de acruo — indica que as contas 1.1.2.001 e 1.1.2.005 ficaram sobrepostas na migração histórica (1.1.2.001 está com saldo negativo, incomum para conta de Ativo). Recomendo investigar/consolidar antes de registrar apuração nesse grupo.</t>
  </si>
  <si>
    <t xml:space="preserve">Total Juros Acruados a Receber</t>
  </si>
  <si>
    <t xml:space="preserve">Notas metodológicas (conforme política documentada em CÁLCULO JUROS ACRUADOS 31jul26):</t>
  </si>
  <si>
    <t xml:space="preserve">1) O valor do extrato do banco/custodiante na data-base é a fonte oficial do acruo — é ele que entra na contabilidade, não um cálculo interno.</t>
  </si>
  <si>
    <t xml:space="preserve">2) O lançamento gerado no app Ajustes reflete a VARIAÇÃO do acruo (diferença entre saldo contábil atual e valor do extrato), não o valor total do extrato.</t>
  </si>
  <si>
    <t xml:space="preserve">3) 'Cálculo interno' (regime de competência, base 360) só é calculado no app quando a apuração está ligada a um Ativo individual específico — não existe, hoje, uma forma de calculá-lo para um grupo agregado de vários papéis (como estas 5 linhas acima representam). Para comparar o cálculo interno papel a papel, registre a apuração vinculando cada Ativo individualmente.</t>
  </si>
  <si>
    <t xml:space="preserve">4) Fundos e ações marcados a mercado (Pimco, VANG, OAKTREE, Note GLD) e o CLN Odebrecht (em default) não geram juros acruados.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</si>
</sst>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9.55" hidden="false" customHeight="false" outlineLevel="0" collapsed="false">
      <c r="A6" s="5" t="s">
        <v>11</v>
      </c>
      <c r="B6" s="5" t="s">
        <v>12</v>
      </c>
      <c r="C6" s="5" t="s">
        <v>13</v>
      </c>
      <c r="D6" s="6" t="n">
        <v>1586.37</v>
      </c>
      <c r="E6" s="6" t="n">
        <v>4079.93</v>
      </c>
      <c r="F6" s="6" t="n">
        <f aca="false">E6-D6</f>
        <v>2493.56</v>
      </c>
      <c r="G6" s="7" t="s">
        <v>14</v>
      </c>
      <c r="H6" s="8" t="s">
        <v>15</v>
      </c>
    </row>
    <row r="7" customFormat="false" ht="39.55" hidden="false" customHeight="false" outlineLevel="0" collapsed="false">
      <c r="A7" s="5" t="s">
        <v>16</v>
      </c>
      <c r="B7" s="5" t="s">
        <v>17</v>
      </c>
      <c r="C7" s="5" t="s">
        <v>18</v>
      </c>
      <c r="D7" s="6" t="n">
        <v>3316.75</v>
      </c>
      <c r="E7" s="6" t="n">
        <v>8423.33</v>
      </c>
      <c r="F7" s="6" t="n">
        <f aca="false">E7-D7</f>
        <v>5106.58</v>
      </c>
      <c r="G7" s="7" t="s">
        <v>14</v>
      </c>
      <c r="H7" s="8" t="s">
        <v>19</v>
      </c>
    </row>
    <row r="8" customFormat="false" ht="26.85" hidden="false" customHeight="false" outlineLevel="0" collapsed="false">
      <c r="A8" s="9" t="s">
        <v>20</v>
      </c>
      <c r="B8" s="9" t="s">
        <v>21</v>
      </c>
      <c r="C8" s="9" t="s">
        <v>22</v>
      </c>
      <c r="D8" s="10" t="n">
        <v>7291.67</v>
      </c>
      <c r="E8" s="10" t="n">
        <v>7291.67</v>
      </c>
      <c r="F8" s="10" t="n">
        <f aca="false">E8-D8</f>
        <v>0</v>
      </c>
      <c r="G8" s="11" t="s">
        <v>23</v>
      </c>
      <c r="H8" s="12" t="s">
        <v>24</v>
      </c>
    </row>
    <row r="9" customFormat="false" ht="26.85" hidden="false" customHeight="false" outlineLevel="0" collapsed="false">
      <c r="A9" s="9" t="s">
        <v>25</v>
      </c>
      <c r="B9" s="9" t="s">
        <v>26</v>
      </c>
      <c r="C9" s="9" t="s">
        <v>27</v>
      </c>
      <c r="D9" s="10" t="n">
        <v>16354.67</v>
      </c>
      <c r="E9" s="10" t="n">
        <v>16354.67</v>
      </c>
      <c r="F9" s="10" t="n">
        <f aca="false">E9-D9</f>
        <v>0</v>
      </c>
      <c r="G9" s="11" t="s">
        <v>23</v>
      </c>
      <c r="H9" s="12" t="s">
        <v>24</v>
      </c>
    </row>
    <row r="10" customFormat="false" ht="128.35" hidden="false" customHeight="false" outlineLevel="0" collapsed="false">
      <c r="A10" s="13" t="s">
        <v>28</v>
      </c>
      <c r="B10" s="13" t="s">
        <v>29</v>
      </c>
      <c r="C10" s="13" t="s">
        <v>30</v>
      </c>
      <c r="D10" s="14" t="n">
        <v>20728.18</v>
      </c>
      <c r="E10" s="14" t="n">
        <v>13128.04</v>
      </c>
      <c r="F10" s="14" t="n">
        <f aca="false">E10-D10</f>
        <v>-7600.14</v>
      </c>
      <c r="G10" s="15" t="s">
        <v>31</v>
      </c>
      <c r="H10" s="16" t="s">
        <v>32</v>
      </c>
    </row>
    <row r="12" customFormat="false" ht="15" hidden="false" customHeight="false" outlineLevel="0" collapsed="false">
      <c r="A12" s="17" t="s">
        <v>33</v>
      </c>
      <c r="B12" s="18"/>
      <c r="C12" s="18"/>
      <c r="D12" s="19" t="n">
        <f aca="false">SUM(D6:D10)</f>
        <v>49277.64</v>
      </c>
      <c r="E12" s="19" t="n">
        <f aca="false">SUM(E6:E10)</f>
        <v>49277.64</v>
      </c>
      <c r="F12" s="19" t="n">
        <f aca="false">E12-D12</f>
        <v>0</v>
      </c>
      <c r="G12" s="18"/>
      <c r="H12" s="18"/>
    </row>
    <row r="14" customFormat="false" ht="15" hidden="false" customHeight="false" outlineLevel="0" collapsed="false">
      <c r="A14" s="20" t="s">
        <v>34</v>
      </c>
      <c r="B14" s="20"/>
      <c r="C14" s="20"/>
      <c r="D14" s="20"/>
      <c r="E14" s="20"/>
      <c r="F14" s="20"/>
      <c r="G14" s="20"/>
      <c r="H14" s="20"/>
    </row>
    <row r="15" customFormat="false" ht="15" hidden="false" customHeight="false" outlineLevel="0" collapsed="false">
      <c r="A15" s="21" t="s">
        <v>35</v>
      </c>
      <c r="B15" s="21"/>
      <c r="C15" s="21"/>
      <c r="D15" s="21"/>
      <c r="E15" s="21"/>
      <c r="F15" s="21"/>
      <c r="G15" s="21"/>
      <c r="H15" s="21"/>
    </row>
    <row r="16" customFormat="false" ht="15" hidden="false" customHeight="false" outlineLevel="0" collapsed="false">
      <c r="A16" s="21" t="s">
        <v>36</v>
      </c>
      <c r="B16" s="21"/>
      <c r="C16" s="21"/>
      <c r="D16" s="21"/>
      <c r="E16" s="21"/>
      <c r="F16" s="21"/>
      <c r="G16" s="21"/>
      <c r="H16" s="21"/>
    </row>
    <row r="17" customFormat="false" ht="15" hidden="false" customHeight="false" outlineLevel="0" collapsed="false">
      <c r="A17" s="21" t="s">
        <v>37</v>
      </c>
      <c r="B17" s="21"/>
      <c r="C17" s="21"/>
      <c r="D17" s="21"/>
      <c r="E17" s="21"/>
      <c r="F17" s="21"/>
      <c r="G17" s="21"/>
      <c r="H17" s="21"/>
    </row>
    <row r="18" customFormat="false" ht="15" hidden="false" customHeight="false" outlineLevel="0" collapsed="false">
      <c r="A18" s="21" t="s">
        <v>38</v>
      </c>
      <c r="B18" s="21"/>
      <c r="C18" s="21"/>
      <c r="D18" s="21"/>
      <c r="E18" s="21"/>
      <c r="F18" s="21"/>
      <c r="G18" s="21"/>
      <c r="H18" s="21"/>
    </row>
  </sheetData>
  <mergeCells count="5"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2026-09-03T03:51:43Z</dcterms:created>
  <dc:creator>openpyxl</dc:creator>
  <dc:description/>
  <dc:language>en-US</dc:language>
  <cp:lastModifiedBy/>
  <dcterms:modified xsi:type="dcterms:W3CDTF">2026-09-03T03:51:43Z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